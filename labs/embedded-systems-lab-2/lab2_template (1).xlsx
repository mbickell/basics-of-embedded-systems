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2501911\Downloads\"/>
    </mc:Choice>
  </mc:AlternateContent>
  <bookViews>
    <workbookView xWindow="-105" yWindow="-105" windowWidth="23250" windowHeight="124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1" l="1"/>
  <c r="F58" i="1"/>
  <c r="F59" i="1"/>
  <c r="E74" i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E58" i="1"/>
  <c r="E59" i="1"/>
  <c r="E60" i="1"/>
  <c r="F60" i="1" s="1"/>
  <c r="E50" i="1"/>
  <c r="F50" i="1" s="1"/>
  <c r="E34" i="1"/>
  <c r="D35" i="1"/>
  <c r="G35" i="1" s="1"/>
  <c r="D34" i="1"/>
  <c r="C15" i="1"/>
  <c r="E68" i="1"/>
  <c r="E71" i="1" s="1"/>
  <c r="D36" i="1"/>
  <c r="F36" i="1" s="1"/>
  <c r="D37" i="1"/>
  <c r="E37" i="1" s="1"/>
  <c r="D38" i="1"/>
  <c r="H38" i="1" s="1"/>
  <c r="D39" i="1"/>
  <c r="G39" i="1" s="1"/>
  <c r="D40" i="1"/>
  <c r="F40" i="1" s="1"/>
  <c r="D41" i="1"/>
  <c r="E41" i="1" s="1"/>
  <c r="D42" i="1"/>
  <c r="H42" i="1" s="1"/>
  <c r="D43" i="1"/>
  <c r="G43" i="1" s="1"/>
  <c r="F44" i="1"/>
  <c r="B30" i="1"/>
  <c r="C16" i="1"/>
  <c r="F43" i="1" l="1"/>
  <c r="E44" i="1"/>
  <c r="F39" i="1"/>
  <c r="E43" i="1"/>
  <c r="F35" i="1"/>
  <c r="E39" i="1"/>
  <c r="E38" i="1"/>
  <c r="F42" i="1"/>
  <c r="G42" i="1"/>
  <c r="E42" i="1"/>
  <c r="E36" i="1"/>
  <c r="G38" i="1"/>
  <c r="E40" i="1"/>
  <c r="E35" i="1"/>
  <c r="F38" i="1"/>
  <c r="H34" i="1"/>
  <c r="H41" i="1"/>
  <c r="H37" i="1"/>
  <c r="G34" i="1"/>
  <c r="G41" i="1"/>
  <c r="G37" i="1"/>
  <c r="H44" i="1"/>
  <c r="H40" i="1"/>
  <c r="H36" i="1"/>
  <c r="F34" i="1"/>
  <c r="F41" i="1"/>
  <c r="F37" i="1"/>
  <c r="G44" i="1"/>
  <c r="G40" i="1"/>
  <c r="G36" i="1"/>
  <c r="H43" i="1"/>
  <c r="H39" i="1"/>
  <c r="H35" i="1"/>
</calcChain>
</file>

<file path=xl/sharedStrings.xml><?xml version="1.0" encoding="utf-8"?>
<sst xmlns="http://schemas.openxmlformats.org/spreadsheetml/2006/main" count="59" uniqueCount="53">
  <si>
    <t>Fill in the measurement data</t>
  </si>
  <si>
    <t>Resistor R1  (Ω)</t>
  </si>
  <si>
    <t>Resistor R2  (Ω)</t>
  </si>
  <si>
    <t>Resistor R3  (Ω)</t>
  </si>
  <si>
    <t>Calculated value of R4  (Ω)</t>
  </si>
  <si>
    <t>Power supply set to (V)</t>
  </si>
  <si>
    <t>Circuit input voltage (V)</t>
  </si>
  <si>
    <t>Voltage over R4  (V)</t>
  </si>
  <si>
    <t>Current in the circuit (A)</t>
  </si>
  <si>
    <t>Power loss R1 (mW)</t>
  </si>
  <si>
    <t>Power loss R2 (mW)</t>
  </si>
  <si>
    <t>Power loss R3 (mW)</t>
  </si>
  <si>
    <t>Power loss R4 (mW)</t>
  </si>
  <si>
    <t>Meausured operating voltage of the Uno board (V)</t>
  </si>
  <si>
    <t>Fluke 87 input voltage (V)</t>
  </si>
  <si>
    <t>AD converter output (0-1023)</t>
  </si>
  <si>
    <t>Input voltage calculated in the Arduino (V)</t>
  </si>
  <si>
    <t>difference (V)</t>
  </si>
  <si>
    <t>Relative Error (%)</t>
  </si>
  <si>
    <r>
      <t>Resistor R1  (</t>
    </r>
    <r>
      <rPr>
        <sz val="11"/>
        <color theme="1"/>
        <rFont val="Calibri"/>
        <family val="2"/>
      </rPr>
      <t>Ω)</t>
    </r>
  </si>
  <si>
    <r>
      <t>Calculated value of  R2  (</t>
    </r>
    <r>
      <rPr>
        <sz val="11"/>
        <color theme="1"/>
        <rFont val="Calibri"/>
        <family val="2"/>
      </rPr>
      <t>Ω)</t>
    </r>
  </si>
  <si>
    <t>LM324 U2-A measured voltage (V)</t>
  </si>
  <si>
    <r>
      <t>Temperature shown by the Arduino Serial Monitor (</t>
    </r>
    <r>
      <rPr>
        <sz val="11"/>
        <color theme="1"/>
        <rFont val="Calibri"/>
        <family val="2"/>
      </rPr>
      <t>°C</t>
    </r>
    <r>
      <rPr>
        <sz val="11"/>
        <color theme="1"/>
        <rFont val="Calibri"/>
        <family val="2"/>
        <scheme val="minor"/>
      </rPr>
      <t>)</t>
    </r>
  </si>
  <si>
    <t>Phase 1</t>
  </si>
  <si>
    <t>Phase 2</t>
  </si>
  <si>
    <t>Phase 3 when the sensor is at room temperature</t>
  </si>
  <si>
    <t>Phase 4 when the sensor is at room temperature</t>
  </si>
  <si>
    <t>LM35DZ VOUT measured voltage (mV)</t>
  </si>
  <si>
    <t>U</t>
  </si>
  <si>
    <t>R1</t>
  </si>
  <si>
    <t>R2</t>
  </si>
  <si>
    <t>R3</t>
  </si>
  <si>
    <t>R4</t>
  </si>
  <si>
    <t>UR4</t>
  </si>
  <si>
    <t>I</t>
  </si>
  <si>
    <t>Measurement</t>
  </si>
  <si>
    <t>total resistance  (Ω)</t>
  </si>
  <si>
    <t>sesivity</t>
  </si>
  <si>
    <t>mV/C</t>
  </si>
  <si>
    <t>C</t>
  </si>
  <si>
    <t>U out</t>
  </si>
  <si>
    <t>in LM35DZ sensor:</t>
  </si>
  <si>
    <t>mV</t>
  </si>
  <si>
    <t>in amplifier</t>
  </si>
  <si>
    <t>U in</t>
  </si>
  <si>
    <t>Ω</t>
  </si>
  <si>
    <t>Nazanin Azhdari</t>
  </si>
  <si>
    <t>Matthew Bickell</t>
  </si>
  <si>
    <t>Hanieh Mashayekhi</t>
  </si>
  <si>
    <t>Mohammadreza Babapour</t>
  </si>
  <si>
    <t>Lab 2 , Group members:</t>
  </si>
  <si>
    <t>max tempreture</t>
  </si>
  <si>
    <t>U out (max)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</si>
</sst>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000"/>
    <numFmt numFmtId="166" formatCode="0.000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16" fontId="1" fillId="0" borderId="1" xfId="0" quotePrefix="1" applyNumberFormat="1" applyFont="1" applyBorder="1"/>
    <xf numFmtId="16" fontId="1" fillId="0" borderId="0" xfId="0" quotePrefix="1" applyNumberFormat="1" applyFont="1"/>
    <xf numFmtId="0" fontId="0" fillId="0" borderId="1" xfId="0" applyBorder="1" applyAlignment="1">
      <alignment wrapText="1"/>
    </xf>
    <xf numFmtId="16" fontId="1" fillId="0" borderId="2" xfId="0" quotePrefix="1" applyNumberFormat="1" applyFont="1" applyBorder="1"/>
    <xf numFmtId="16" fontId="0" fillId="0" borderId="0" xfId="0" quotePrefix="1" applyNumberFormat="1"/>
    <xf numFmtId="16" fontId="0" fillId="0" borderId="1" xfId="0" quotePrefix="1" applyNumberFormat="1" applyBorder="1" applyAlignment="1">
      <alignment horizontal="right"/>
    </xf>
    <xf numFmtId="16" fontId="0" fillId="0" borderId="3" xfId="0" quotePrefix="1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0" xfId="0" applyNumberFormat="1"/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" fontId="0" fillId="0" borderId="0" xfId="0" quotePrefix="1" applyNumberFormat="1" applyAlignment="1">
      <alignment horizontal="right"/>
    </xf>
    <xf numFmtId="0" fontId="0" fillId="2" borderId="1" xfId="0" applyFill="1" applyBorder="1"/>
    <xf numFmtId="2" fontId="0" fillId="2" borderId="1" xfId="0" applyNumberFormat="1" applyFill="1" applyBorder="1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4" xfId="0" applyFill="1" applyBorder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/>
    <xf numFmtId="164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/>
    <xf numFmtId="165" fontId="0" fillId="2" borderId="1" xfId="0" applyNumberForma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7</xdr:row>
      <xdr:rowOff>22861</xdr:rowOff>
    </xdr:from>
    <xdr:to>
      <xdr:col>0</xdr:col>
      <xdr:colOff>3368040</xdr:colOff>
      <xdr:row>19</xdr:row>
      <xdr:rowOff>84150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F3E719-C288-26D4-483C-5691D7C10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" y="1303021"/>
          <a:ext cx="3375660" cy="2255849"/>
        </a:xfrm>
        <a:prstGeom prst="rect">
          <a:avLst/>
        </a:prstGeom>
      </xdr:spPr>
    </xdr:pic>
    <xdr:clientData/>
  </xdr:twoCellAnchor>
  <xdr:oneCellAnchor>
    <xdr:from>
      <xdr:col>3</xdr:col>
      <xdr:colOff>419100</xdr:colOff>
      <xdr:row>9</xdr:row>
      <xdr:rowOff>7620</xdr:rowOff>
    </xdr:from>
    <xdr:ext cx="2194560" cy="7239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D0B2547-0B89-7755-8B12-45531BFEB8A1}"/>
                </a:ext>
              </a:extLst>
            </xdr:cNvPr>
            <xdr:cNvSpPr txBox="1"/>
          </xdr:nvSpPr>
          <xdr:spPr>
            <a:xfrm>
              <a:off x="6035040" y="1653540"/>
              <a:ext cx="2194560" cy="723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fi-FI" sz="16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fi-FI" sz="16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fi-FI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fi-FI" sz="1600" b="0" i="1">
                            <a:latin typeface="Cambria Math" panose="02040503050406030204" pitchFamily="18" charset="0"/>
                          </a:rPr>
                          <m:t>𝑈</m:t>
                        </m:r>
                        <m:r>
                          <a:rPr lang="fi-FI" sz="1600" b="0" i="1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a:rPr lang="fi-FI" sz="1600" b="0" i="1">
                            <a:latin typeface="Cambria Math" panose="02040503050406030204" pitchFamily="18" charset="0"/>
                          </a:rPr>
                          <m:t>𝑈𝑅</m:t>
                        </m:r>
                        <m:r>
                          <a:rPr lang="fi-FI" sz="1600" b="0" i="1">
                            <a:latin typeface="Cambria Math" panose="02040503050406030204" pitchFamily="18" charset="0"/>
                          </a:rPr>
                          <m:t>4</m:t>
                        </m:r>
                      </m:num>
                      <m:den>
                        <m:r>
                          <a:rPr lang="fi-FI" sz="16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fi-FI" sz="1600" b="0" i="1">
                            <a:latin typeface="Cambria Math" panose="02040503050406030204" pitchFamily="18" charset="0"/>
                          </a:rPr>
                          <m:t>1+</m:t>
                        </m:r>
                        <m:r>
                          <a:rPr lang="fi-FI" sz="16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fi-FI" sz="1600" b="0" i="1">
                            <a:latin typeface="Cambria Math" panose="02040503050406030204" pitchFamily="18" charset="0"/>
                          </a:rPr>
                          <m:t>2+</m:t>
                        </m:r>
                        <m:r>
                          <a:rPr lang="fi-FI" sz="16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fi-FI" sz="1600" b="0" i="1"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D0B2547-0B89-7755-8B12-45531BFEB8A1}"/>
                </a:ext>
              </a:extLst>
            </xdr:cNvPr>
            <xdr:cNvSpPr txBox="1"/>
          </xdr:nvSpPr>
          <xdr:spPr>
            <a:xfrm>
              <a:off x="6035040" y="1653540"/>
              <a:ext cx="2194560" cy="723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fi-FI" sz="1600" b="0" i="0">
                  <a:latin typeface="Cambria Math" panose="02040503050406030204" pitchFamily="18" charset="0"/>
                </a:rPr>
                <a:t>𝐼=  (𝑈 −𝑈𝑅4)/(𝑅1+𝑅2+𝑅3)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3</xdr:col>
      <xdr:colOff>426720</xdr:colOff>
      <xdr:row>13</xdr:row>
      <xdr:rowOff>88728</xdr:rowOff>
    </xdr:from>
    <xdr:ext cx="2240280" cy="5175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77A0D3D-5C82-1CA2-C52F-314002C26103}"/>
                </a:ext>
              </a:extLst>
            </xdr:cNvPr>
            <xdr:cNvSpPr txBox="1"/>
          </xdr:nvSpPr>
          <xdr:spPr>
            <a:xfrm>
              <a:off x="6042660" y="2466168"/>
              <a:ext cx="2240280" cy="5175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fi-FI" sz="1800" b="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fi-FI" sz="1800" b="0" i="1">
                        <a:latin typeface="Cambria Math" panose="02040503050406030204" pitchFamily="18" charset="0"/>
                      </a:rPr>
                      <m:t>4= </m:t>
                    </m:r>
                    <m:f>
                      <m:fPr>
                        <m:ctrlPr>
                          <a:rPr lang="fi-FI" sz="1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fi-FI" sz="1800" b="0" i="1">
                            <a:latin typeface="Cambria Math" panose="02040503050406030204" pitchFamily="18" charset="0"/>
                          </a:rPr>
                          <m:t>𝑈𝑅</m:t>
                        </m:r>
                        <m:r>
                          <a:rPr lang="fi-FI" sz="1800" b="0" i="1">
                            <a:latin typeface="Cambria Math" panose="02040503050406030204" pitchFamily="18" charset="0"/>
                          </a:rPr>
                          <m:t>4</m:t>
                        </m:r>
                      </m:num>
                      <m:den>
                        <m:r>
                          <a:rPr lang="fi-FI" sz="1800" b="0" i="1">
                            <a:latin typeface="Cambria Math" panose="02040503050406030204" pitchFamily="18" charset="0"/>
                          </a:rPr>
                          <m:t>𝐼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77A0D3D-5C82-1CA2-C52F-314002C26103}"/>
                </a:ext>
              </a:extLst>
            </xdr:cNvPr>
            <xdr:cNvSpPr txBox="1"/>
          </xdr:nvSpPr>
          <xdr:spPr>
            <a:xfrm>
              <a:off x="6042660" y="2466168"/>
              <a:ext cx="2240280" cy="5175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fi-FI" sz="1800" b="0" i="0">
                  <a:latin typeface="Cambria Math" panose="02040503050406030204" pitchFamily="18" charset="0"/>
                </a:rPr>
                <a:t>𝑅4=  𝑈𝑅4/𝐼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274320</xdr:colOff>
      <xdr:row>66</xdr:row>
      <xdr:rowOff>156210</xdr:rowOff>
    </xdr:from>
    <xdr:ext cx="260205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7140083-06E7-076D-4506-040123640691}"/>
                </a:ext>
              </a:extLst>
            </xdr:cNvPr>
            <xdr:cNvSpPr txBox="1"/>
          </xdr:nvSpPr>
          <xdr:spPr>
            <a:xfrm>
              <a:off x="8747760" y="13437870"/>
              <a:ext cx="260205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i-FI" sz="1400" b="0" i="1">
                        <a:latin typeface="Cambria Math" panose="02040503050406030204" pitchFamily="18" charset="0"/>
                      </a:rPr>
                      <m:t>𝑈</m:t>
                    </m:r>
                    <m:r>
                      <a:rPr lang="fi-FI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fi-FI" sz="1400" b="0" i="1">
                        <a:latin typeface="Cambria Math" panose="02040503050406030204" pitchFamily="18" charset="0"/>
                      </a:rPr>
                      <m:t>𝑜𝑢𝑡</m:t>
                    </m:r>
                    <m:r>
                      <a:rPr lang="fi-FI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fi-FI" sz="1400" b="0" i="1">
                        <a:latin typeface="Cambria Math" panose="02040503050406030204" pitchFamily="18" charset="0"/>
                      </a:rPr>
                      <m:t>𝑠𝑒𝑛𝑠𝑖𝑣𝑖𝑡𝑦</m:t>
                    </m:r>
                    <m:r>
                      <a:rPr lang="fi-FI" sz="1400" b="0" i="1">
                        <a:latin typeface="Cambria Math" panose="02040503050406030204" pitchFamily="18" charset="0"/>
                      </a:rPr>
                      <m:t> ∗</m:t>
                    </m:r>
                    <m:r>
                      <a:rPr lang="fi-FI" sz="1400" b="0" i="1">
                        <a:latin typeface="Cambria Math" panose="02040503050406030204" pitchFamily="18" charset="0"/>
                      </a:rPr>
                      <m:t>𝑡𝑒𝑚𝑝𝑟𝑒𝑡𝑢𝑟𝑒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7140083-06E7-076D-4506-040123640691}"/>
                </a:ext>
              </a:extLst>
            </xdr:cNvPr>
            <xdr:cNvSpPr txBox="1"/>
          </xdr:nvSpPr>
          <xdr:spPr>
            <a:xfrm>
              <a:off x="8747760" y="13437870"/>
              <a:ext cx="260205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i-FI" sz="1400" b="0" i="0">
                  <a:latin typeface="Cambria Math" panose="02040503050406030204" pitchFamily="18" charset="0"/>
                </a:rPr>
                <a:t>𝑈 𝑜𝑢𝑡=𝑠𝑒𝑛𝑠𝑖𝑣𝑖𝑡𝑦 ∗𝑡𝑒𝑚𝑝𝑟𝑒𝑡𝑢𝑟𝑒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601980</xdr:colOff>
      <xdr:row>51</xdr:row>
      <xdr:rowOff>34290</xdr:rowOff>
    </xdr:from>
    <xdr:ext cx="3234668" cy="38722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B3D3B18-3B29-668A-2C09-154E6C562D7A}"/>
                </a:ext>
              </a:extLst>
            </xdr:cNvPr>
            <xdr:cNvSpPr txBox="1"/>
          </xdr:nvSpPr>
          <xdr:spPr>
            <a:xfrm>
              <a:off x="9075420" y="10572750"/>
              <a:ext cx="3234668" cy="3872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600" b="0" i="1">
                      <a:latin typeface="Cambria Math" panose="02040503050406030204" pitchFamily="18" charset="0"/>
                    </a:rPr>
                    <m:t>𝑅𝑒𝑙𝑎𝑡𝑖𝑣𝑒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𝐸𝑟𝑟𝑜𝑟</m:t>
                  </m:r>
                  <m:r>
                    <a:rPr lang="fi-FI" sz="16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fi-FI" sz="16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fi-FI" sz="1600" b="0" i="1">
                          <a:latin typeface="Cambria Math" panose="02040503050406030204" pitchFamily="18" charset="0"/>
                        </a:rPr>
                        <m:t>| </m:t>
                      </m:r>
                      <m:r>
                        <a:rPr lang="fi-FI" sz="1600" b="0" i="1">
                          <a:latin typeface="Cambria Math" panose="02040503050406030204" pitchFamily="18" charset="0"/>
                        </a:rPr>
                        <m:t>𝑈</m:t>
                      </m:r>
                      <m:r>
                        <a:rPr lang="fi-FI" sz="16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fi-FI" sz="1600" b="0" i="1">
                          <a:latin typeface="Cambria Math" panose="02040503050406030204" pitchFamily="18" charset="0"/>
                        </a:rPr>
                        <m:t>𝑢𝑛𝑜</m:t>
                      </m:r>
                      <m:r>
                        <a:rPr lang="fi-FI" sz="1600" b="0" i="1">
                          <a:latin typeface="Cambria Math" panose="02040503050406030204" pitchFamily="18" charset="0"/>
                        </a:rPr>
                        <m:t> −</m:t>
                      </m:r>
                      <m:r>
                        <a:rPr lang="fi-FI" sz="1600" b="0" i="1">
                          <a:latin typeface="Cambria Math" panose="02040503050406030204" pitchFamily="18" charset="0"/>
                        </a:rPr>
                        <m:t>𝑈</m:t>
                      </m:r>
                      <m:r>
                        <a:rPr lang="fi-FI" sz="16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fi-FI" sz="1600" b="0" i="1">
                          <a:latin typeface="Cambria Math" panose="02040503050406030204" pitchFamily="18" charset="0"/>
                        </a:rPr>
                        <m:t>𝑓𝑙𝑢𝑘𝑒</m:t>
                      </m:r>
                      <m:r>
                        <a:rPr lang="fi-FI" sz="1600" b="0" i="1">
                          <a:latin typeface="Cambria Math" panose="02040503050406030204" pitchFamily="18" charset="0"/>
                        </a:rPr>
                        <m:t> |</m:t>
                      </m:r>
                    </m:num>
                    <m:den>
                      <m:r>
                        <a:rPr lang="fi-FI" sz="1600" b="0" i="1">
                          <a:latin typeface="Cambria Math" panose="02040503050406030204" pitchFamily="18" charset="0"/>
                        </a:rPr>
                        <m:t>𝑈</m:t>
                      </m:r>
                      <m:r>
                        <a:rPr lang="fi-FI" sz="16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fi-FI" sz="1600" b="0" i="1">
                          <a:latin typeface="Cambria Math" panose="02040503050406030204" pitchFamily="18" charset="0"/>
                        </a:rPr>
                        <m:t>𝑓𝑙𝑢𝑘𝑒</m:t>
                      </m:r>
                    </m:den>
                  </m:f>
                </m:oMath>
              </a14:m>
              <a:r>
                <a:rPr lang="en-US" sz="1100"/>
                <a:t> *100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B3D3B18-3B29-668A-2C09-154E6C562D7A}"/>
                </a:ext>
              </a:extLst>
            </xdr:cNvPr>
            <xdr:cNvSpPr txBox="1"/>
          </xdr:nvSpPr>
          <xdr:spPr>
            <a:xfrm>
              <a:off x="9075420" y="10572750"/>
              <a:ext cx="3234668" cy="3872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b="0" i="0">
                  <a:latin typeface="Cambria Math" panose="02040503050406030204" pitchFamily="18" charset="0"/>
                </a:rPr>
                <a:t>𝑅𝑒𝑙𝑎𝑡𝑖𝑣𝑒 𝐸𝑟𝑟𝑜𝑟</a:t>
              </a:r>
              <a:r>
                <a:rPr lang="fi-FI" sz="1600" b="0" i="0">
                  <a:latin typeface="Cambria Math" panose="02040503050406030204" pitchFamily="18" charset="0"/>
                </a:rPr>
                <a:t>=(| 𝑈 𝑢𝑛𝑜 −𝑈 𝑓𝑙𝑢𝑘𝑒 |)/(𝑈 𝑓𝑙𝑢𝑘𝑒)</a:t>
              </a:r>
              <a:r>
                <a:rPr lang="en-US" sz="1100"/>
                <a:t> *100</a:t>
              </a:r>
            </a:p>
          </xdr:txBody>
        </xdr:sp>
      </mc:Fallback>
    </mc:AlternateContent>
    <xdr:clientData/>
  </xdr:oneCellAnchor>
  <xdr:oneCellAnchor>
    <xdr:from>
      <xdr:col>6</xdr:col>
      <xdr:colOff>548640</xdr:colOff>
      <xdr:row>48</xdr:row>
      <xdr:rowOff>461010</xdr:rowOff>
    </xdr:from>
    <xdr:ext cx="3098284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FEB2FAE-2591-89AC-29CD-DEABBA6A0DE1}"/>
                </a:ext>
              </a:extLst>
            </xdr:cNvPr>
            <xdr:cNvSpPr txBox="1"/>
          </xdr:nvSpPr>
          <xdr:spPr>
            <a:xfrm>
              <a:off x="9022080" y="10085070"/>
              <a:ext cx="3098284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i-FI" sz="1600" b="0" i="1">
                        <a:latin typeface="Cambria Math" panose="02040503050406030204" pitchFamily="18" charset="0"/>
                      </a:rPr>
                      <m:t>𝑑𝑖𝑓𝑓𝑒𝑟𝑒𝑛𝑐𝑒</m:t>
                    </m:r>
                    <m:r>
                      <a:rPr lang="fi-FI" sz="1600" b="0" i="1">
                        <a:latin typeface="Cambria Math" panose="02040503050406030204" pitchFamily="18" charset="0"/>
                      </a:rPr>
                      <m:t>=| </m:t>
                    </m:r>
                    <m:r>
                      <a:rPr lang="fi-FI" sz="1600" b="0" i="1">
                        <a:latin typeface="Cambria Math" panose="02040503050406030204" pitchFamily="18" charset="0"/>
                      </a:rPr>
                      <m:t>𝑈</m:t>
                    </m:r>
                    <m:r>
                      <a:rPr lang="fi-FI" sz="16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fi-FI" sz="1600" b="0" i="1">
                        <a:latin typeface="Cambria Math" panose="02040503050406030204" pitchFamily="18" charset="0"/>
                      </a:rPr>
                      <m:t>𝑢𝑛𝑜</m:t>
                    </m:r>
                    <m:r>
                      <a:rPr lang="fi-FI" sz="1600" b="0" i="1">
                        <a:latin typeface="Cambria Math" panose="02040503050406030204" pitchFamily="18" charset="0"/>
                      </a:rPr>
                      <m:t> −</m:t>
                    </m:r>
                    <m:r>
                      <a:rPr lang="fi-FI" sz="1600" b="0" i="1">
                        <a:latin typeface="Cambria Math" panose="02040503050406030204" pitchFamily="18" charset="0"/>
                      </a:rPr>
                      <m:t>𝑈</m:t>
                    </m:r>
                    <m:r>
                      <a:rPr lang="fi-FI" sz="16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fi-FI" sz="1600" b="0" i="1">
                        <a:latin typeface="Cambria Math" panose="02040503050406030204" pitchFamily="18" charset="0"/>
                      </a:rPr>
                      <m:t>𝑓𝑙𝑢𝑘𝑒</m:t>
                    </m:r>
                    <m:r>
                      <a:rPr lang="fi-FI" sz="1600" b="0" i="1">
                        <a:latin typeface="Cambria Math" panose="02040503050406030204" pitchFamily="18" charset="0"/>
                      </a:rPr>
                      <m:t> |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FEB2FAE-2591-89AC-29CD-DEABBA6A0DE1}"/>
                </a:ext>
              </a:extLst>
            </xdr:cNvPr>
            <xdr:cNvSpPr txBox="1"/>
          </xdr:nvSpPr>
          <xdr:spPr>
            <a:xfrm>
              <a:off x="9022080" y="10085070"/>
              <a:ext cx="3098284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i-FI" sz="1600" b="0" i="0">
                  <a:latin typeface="Cambria Math" panose="02040503050406030204" pitchFamily="18" charset="0"/>
                </a:rPr>
                <a:t>𝑑𝑖𝑓𝑓𝑒𝑟𝑒𝑛𝑐𝑒=| 𝑈 𝑢𝑛𝑜 −𝑈 𝑓𝑙𝑢𝑘𝑒 |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2</xdr:col>
      <xdr:colOff>247650</xdr:colOff>
      <xdr:row>17</xdr:row>
      <xdr:rowOff>69850</xdr:rowOff>
    </xdr:from>
    <xdr:to>
      <xdr:col>8</xdr:col>
      <xdr:colOff>281755</xdr:colOff>
      <xdr:row>31</xdr:row>
      <xdr:rowOff>30621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3450" y="3308350"/>
          <a:ext cx="5510980" cy="3284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504825</xdr:colOff>
      <xdr:row>142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0"/>
          <a:ext cx="5381625" cy="2707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Palauta viimeisen tekemäsi</a:t>
          </a:r>
          <a:r>
            <a:rPr lang="en-US" sz="1100" baseline="0"/>
            <a:t> kohdan </a:t>
          </a:r>
          <a:r>
            <a:rPr lang="en-US" sz="1100"/>
            <a:t>koodi tähän</a:t>
          </a:r>
          <a:r>
            <a:rPr lang="en-US" sz="1100" baseline="0"/>
            <a:t> alapuolelle:</a:t>
          </a:r>
        </a:p>
        <a:p>
          <a:endParaRPr lang="en-US" sz="1100" baseline="0"/>
        </a:p>
        <a:p>
          <a:endParaRPr lang="en-US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tabSelected="1" topLeftCell="A13" zoomScaleNormal="100" workbookViewId="0">
      <selection activeCell="L33" sqref="L33"/>
    </sheetView>
  </sheetViews>
  <sheetFormatPr defaultRowHeight="15"/>
  <cols>
    <col min="1" max="1" width="50.5703125" bestFit="1" customWidth="1"/>
    <col min="2" max="2" width="16.85546875" customWidth="1"/>
    <col min="3" max="3" width="14.42578125" customWidth="1"/>
    <col min="4" max="4" width="15.7109375" customWidth="1"/>
    <col min="5" max="8" width="13" customWidth="1"/>
  </cols>
  <sheetData>
    <row r="1" spans="1:3">
      <c r="A1" s="22" t="s">
        <v>50</v>
      </c>
    </row>
    <row r="2" spans="1:3">
      <c r="A2" s="23" t="s">
        <v>46</v>
      </c>
    </row>
    <row r="3" spans="1:3">
      <c r="A3" s="23" t="s">
        <v>47</v>
      </c>
    </row>
    <row r="4" spans="1:3">
      <c r="A4" s="23" t="s">
        <v>48</v>
      </c>
    </row>
    <row r="5" spans="1:3">
      <c r="A5" s="23" t="s">
        <v>49</v>
      </c>
    </row>
    <row r="7" spans="1:3">
      <c r="A7" t="s">
        <v>35</v>
      </c>
    </row>
    <row r="10" spans="1:3">
      <c r="B10" s="12" t="s">
        <v>28</v>
      </c>
      <c r="C10" s="12">
        <v>50</v>
      </c>
    </row>
    <row r="11" spans="1:3">
      <c r="B11" s="12" t="s">
        <v>29</v>
      </c>
      <c r="C11" s="14">
        <v>3000</v>
      </c>
    </row>
    <row r="12" spans="1:3">
      <c r="B12" s="12" t="s">
        <v>30</v>
      </c>
      <c r="C12" s="14">
        <v>3000</v>
      </c>
    </row>
    <row r="13" spans="1:3">
      <c r="B13" s="12" t="s">
        <v>31</v>
      </c>
      <c r="C13" s="14">
        <v>3000</v>
      </c>
    </row>
    <row r="14" spans="1:3">
      <c r="B14" s="12" t="s">
        <v>33</v>
      </c>
      <c r="C14" s="14">
        <v>5</v>
      </c>
    </row>
    <row r="15" spans="1:3">
      <c r="B15" s="12" t="s">
        <v>34</v>
      </c>
      <c r="C15" s="15">
        <f>(C10-C14)/(C11+C12+C13)</f>
        <v>5.0000000000000001E-3</v>
      </c>
    </row>
    <row r="16" spans="1:3">
      <c r="B16" s="12" t="s">
        <v>32</v>
      </c>
      <c r="C16" s="15">
        <f>C14/C15</f>
        <v>1000</v>
      </c>
    </row>
    <row r="23" spans="1:2">
      <c r="A23" t="s">
        <v>0</v>
      </c>
    </row>
    <row r="25" spans="1:2" ht="66.75" customHeight="1">
      <c r="A25" s="5" t="s">
        <v>23</v>
      </c>
    </row>
    <row r="26" spans="1:2">
      <c r="A26" s="7" t="s">
        <v>1</v>
      </c>
      <c r="B26" s="17">
        <v>3000</v>
      </c>
    </row>
    <row r="27" spans="1:2">
      <c r="A27" s="7" t="s">
        <v>2</v>
      </c>
      <c r="B27" s="17">
        <v>3000</v>
      </c>
    </row>
    <row r="28" spans="1:2">
      <c r="A28" s="7" t="s">
        <v>3</v>
      </c>
      <c r="B28" s="17">
        <v>3000</v>
      </c>
    </row>
    <row r="29" spans="1:2">
      <c r="A29" s="7" t="s">
        <v>4</v>
      </c>
      <c r="B29" s="17">
        <v>1000</v>
      </c>
    </row>
    <row r="30" spans="1:2">
      <c r="A30" s="7" t="s">
        <v>36</v>
      </c>
      <c r="B30" s="17">
        <f>B26+B27+B28+B29</f>
        <v>10000</v>
      </c>
    </row>
    <row r="31" spans="1:2">
      <c r="A31" s="16"/>
    </row>
    <row r="32" spans="1:2">
      <c r="A32" s="6"/>
    </row>
    <row r="33" spans="1:8" ht="30">
      <c r="A33" s="1" t="s">
        <v>5</v>
      </c>
      <c r="B33" s="4" t="s">
        <v>6</v>
      </c>
      <c r="C33" s="4" t="s">
        <v>7</v>
      </c>
      <c r="D33" s="4" t="s">
        <v>8</v>
      </c>
      <c r="E33" s="4" t="s">
        <v>9</v>
      </c>
      <c r="F33" s="4" t="s">
        <v>10</v>
      </c>
      <c r="G33" s="4" t="s">
        <v>11</v>
      </c>
      <c r="H33" s="4" t="s">
        <v>12</v>
      </c>
    </row>
    <row r="34" spans="1:8">
      <c r="A34" s="12">
        <v>0</v>
      </c>
      <c r="B34" s="26">
        <v>5.7999999999999996E-3</v>
      </c>
      <c r="C34" s="26">
        <v>5.9999999999999995E-4</v>
      </c>
      <c r="D34" s="27">
        <f>C34/$B$29</f>
        <v>5.9999999999999997E-7</v>
      </c>
      <c r="E34" s="27">
        <f>D34^2*$B$26</f>
        <v>1.08E-9</v>
      </c>
      <c r="F34" s="27">
        <f>D34^2*$B$27</f>
        <v>1.08E-9</v>
      </c>
      <c r="G34" s="27">
        <f>D34^2*$B$28</f>
        <v>1.08E-9</v>
      </c>
      <c r="H34" s="27">
        <f>D34^2*$B$29</f>
        <v>3.6E-10</v>
      </c>
    </row>
    <row r="35" spans="1:8">
      <c r="A35" s="12">
        <v>5</v>
      </c>
      <c r="B35" s="26">
        <v>4.9960000000000004</v>
      </c>
      <c r="C35" s="26">
        <v>0.49840000000000001</v>
      </c>
      <c r="D35" s="27">
        <f>C35/$B$29</f>
        <v>4.9839999999999997E-4</v>
      </c>
      <c r="E35" s="27">
        <f t="shared" ref="E35:E44" si="0">D35^2*$B$26</f>
        <v>7.4520768E-4</v>
      </c>
      <c r="F35" s="27">
        <f t="shared" ref="F35:F44" si="1">D35^2*$B$27</f>
        <v>7.4520768E-4</v>
      </c>
      <c r="G35" s="27">
        <f t="shared" ref="G35:G44" si="2">D35^2*$B$28</f>
        <v>7.4520768E-4</v>
      </c>
      <c r="H35" s="27">
        <f t="shared" ref="H35:H44" si="3">D35^2*$B$29</f>
        <v>2.4840255999999998E-4</v>
      </c>
    </row>
    <row r="36" spans="1:8">
      <c r="A36" s="12">
        <v>10</v>
      </c>
      <c r="B36" s="26">
        <v>9.9890000000000008</v>
      </c>
      <c r="C36" s="26">
        <v>0.99650000000000005</v>
      </c>
      <c r="D36" s="27">
        <f t="shared" ref="D36:D43" si="4">C36/$B$29</f>
        <v>9.9649999999999999E-4</v>
      </c>
      <c r="E36" s="27">
        <f t="shared" si="0"/>
        <v>2.97903675E-3</v>
      </c>
      <c r="F36" s="27">
        <f t="shared" si="1"/>
        <v>2.97903675E-3</v>
      </c>
      <c r="G36" s="27">
        <f t="shared" si="2"/>
        <v>2.97903675E-3</v>
      </c>
      <c r="H36" s="27">
        <f t="shared" si="3"/>
        <v>9.9301225000000002E-4</v>
      </c>
    </row>
    <row r="37" spans="1:8">
      <c r="A37" s="12">
        <v>15</v>
      </c>
      <c r="B37" s="26">
        <v>14.984999999999999</v>
      </c>
      <c r="C37" s="26">
        <v>1.4950000000000001</v>
      </c>
      <c r="D37" s="27">
        <f t="shared" si="4"/>
        <v>1.495E-3</v>
      </c>
      <c r="E37" s="27">
        <f t="shared" si="0"/>
        <v>6.7050750000000004E-3</v>
      </c>
      <c r="F37" s="27">
        <f t="shared" si="1"/>
        <v>6.7050750000000004E-3</v>
      </c>
      <c r="G37" s="27">
        <f t="shared" si="2"/>
        <v>6.7050750000000004E-3</v>
      </c>
      <c r="H37" s="27">
        <f t="shared" si="3"/>
        <v>2.2350250000000003E-3</v>
      </c>
    </row>
    <row r="38" spans="1:8">
      <c r="A38" s="12">
        <v>20</v>
      </c>
      <c r="B38" s="26">
        <v>19.984999999999999</v>
      </c>
      <c r="C38" s="26">
        <v>1.9937</v>
      </c>
      <c r="D38" s="27">
        <f t="shared" si="4"/>
        <v>1.9937000000000002E-3</v>
      </c>
      <c r="E38" s="27">
        <f t="shared" si="0"/>
        <v>1.192451907E-2</v>
      </c>
      <c r="F38" s="27">
        <f t="shared" si="1"/>
        <v>1.192451907E-2</v>
      </c>
      <c r="G38" s="27">
        <f t="shared" si="2"/>
        <v>1.192451907E-2</v>
      </c>
      <c r="H38" s="27">
        <f t="shared" si="3"/>
        <v>3.9748396899999998E-3</v>
      </c>
    </row>
    <row r="39" spans="1:8">
      <c r="A39" s="12">
        <v>25</v>
      </c>
      <c r="B39" s="26">
        <v>24.977</v>
      </c>
      <c r="C39" s="26">
        <v>2.4916</v>
      </c>
      <c r="D39" s="27">
        <f t="shared" si="4"/>
        <v>2.4916000000000001E-3</v>
      </c>
      <c r="E39" s="27">
        <f t="shared" si="0"/>
        <v>1.8624211680000002E-2</v>
      </c>
      <c r="F39" s="27">
        <f t="shared" si="1"/>
        <v>1.8624211680000002E-2</v>
      </c>
      <c r="G39" s="27">
        <f t="shared" si="2"/>
        <v>1.8624211680000002E-2</v>
      </c>
      <c r="H39" s="27">
        <f t="shared" si="3"/>
        <v>6.2080705600000008E-3</v>
      </c>
    </row>
    <row r="40" spans="1:8">
      <c r="A40" s="12">
        <v>30</v>
      </c>
      <c r="B40" s="26">
        <v>29.971</v>
      </c>
      <c r="C40" s="26">
        <v>2.9899</v>
      </c>
      <c r="D40" s="27">
        <f t="shared" si="4"/>
        <v>2.9899000000000002E-3</v>
      </c>
      <c r="E40" s="27">
        <f t="shared" si="0"/>
        <v>2.6818506030000005E-2</v>
      </c>
      <c r="F40" s="27">
        <f t="shared" si="1"/>
        <v>2.6818506030000005E-2</v>
      </c>
      <c r="G40" s="27">
        <f t="shared" si="2"/>
        <v>2.6818506030000005E-2</v>
      </c>
      <c r="H40" s="27">
        <f t="shared" si="3"/>
        <v>8.939502010000001E-3</v>
      </c>
    </row>
    <row r="41" spans="1:8">
      <c r="A41" s="12">
        <v>35</v>
      </c>
      <c r="B41" s="24"/>
      <c r="C41" s="24"/>
      <c r="D41" s="24">
        <f t="shared" si="4"/>
        <v>0</v>
      </c>
      <c r="E41" s="24">
        <f t="shared" si="0"/>
        <v>0</v>
      </c>
      <c r="F41" s="24">
        <f t="shared" si="1"/>
        <v>0</v>
      </c>
      <c r="G41" s="24">
        <f t="shared" si="2"/>
        <v>0</v>
      </c>
      <c r="H41" s="24">
        <f t="shared" si="3"/>
        <v>0</v>
      </c>
    </row>
    <row r="42" spans="1:8">
      <c r="A42" s="12">
        <v>40</v>
      </c>
      <c r="B42" s="24"/>
      <c r="C42" s="24"/>
      <c r="D42" s="24">
        <f t="shared" si="4"/>
        <v>0</v>
      </c>
      <c r="E42" s="24">
        <f t="shared" si="0"/>
        <v>0</v>
      </c>
      <c r="F42" s="24">
        <f t="shared" si="1"/>
        <v>0</v>
      </c>
      <c r="G42" s="24">
        <f t="shared" si="2"/>
        <v>0</v>
      </c>
      <c r="H42" s="24">
        <f t="shared" si="3"/>
        <v>0</v>
      </c>
    </row>
    <row r="43" spans="1:8">
      <c r="A43" s="12">
        <v>45</v>
      </c>
      <c r="B43" s="24"/>
      <c r="C43" s="24"/>
      <c r="D43" s="24">
        <f t="shared" si="4"/>
        <v>0</v>
      </c>
      <c r="E43" s="24">
        <f t="shared" si="0"/>
        <v>0</v>
      </c>
      <c r="F43" s="24">
        <f t="shared" si="1"/>
        <v>0</v>
      </c>
      <c r="G43" s="24">
        <f t="shared" si="2"/>
        <v>0</v>
      </c>
      <c r="H43" s="24">
        <f t="shared" si="3"/>
        <v>0</v>
      </c>
    </row>
    <row r="44" spans="1:8">
      <c r="A44" s="12">
        <v>50</v>
      </c>
      <c r="B44" s="24">
        <v>0</v>
      </c>
      <c r="C44" s="24">
        <v>0</v>
      </c>
      <c r="D44" s="24">
        <v>0</v>
      </c>
      <c r="E44" s="24">
        <f t="shared" si="0"/>
        <v>0</v>
      </c>
      <c r="F44" s="24">
        <f t="shared" si="1"/>
        <v>0</v>
      </c>
      <c r="G44" s="24">
        <f t="shared" si="2"/>
        <v>0</v>
      </c>
      <c r="H44" s="24">
        <f t="shared" si="3"/>
        <v>0</v>
      </c>
    </row>
    <row r="46" spans="1:8">
      <c r="A46" s="2" t="s">
        <v>24</v>
      </c>
    </row>
    <row r="47" spans="1:8">
      <c r="A47" s="7" t="s">
        <v>13</v>
      </c>
      <c r="B47" s="18">
        <v>5.0533999999999999</v>
      </c>
    </row>
    <row r="48" spans="1:8">
      <c r="A48" s="8"/>
    </row>
    <row r="49" spans="1:6" ht="45">
      <c r="A49" s="1" t="s">
        <v>5</v>
      </c>
      <c r="B49" s="4" t="s">
        <v>14</v>
      </c>
      <c r="C49" s="4" t="s">
        <v>15</v>
      </c>
      <c r="D49" s="4" t="s">
        <v>16</v>
      </c>
      <c r="E49" s="4" t="s">
        <v>17</v>
      </c>
      <c r="F49" s="4" t="s">
        <v>18</v>
      </c>
    </row>
    <row r="50" spans="1:6">
      <c r="A50" s="1">
        <v>0</v>
      </c>
      <c r="B50" s="18">
        <v>6.1999999999999998E-3</v>
      </c>
      <c r="C50" s="18">
        <v>0</v>
      </c>
      <c r="D50" s="18">
        <v>0</v>
      </c>
      <c r="E50" s="18">
        <f>ABS(D50-B50)</f>
        <v>6.1999999999999998E-3</v>
      </c>
      <c r="F50" s="18">
        <f>(E50/B50)*100</f>
        <v>100</v>
      </c>
    </row>
    <row r="51" spans="1:6">
      <c r="A51" s="1">
        <v>5</v>
      </c>
      <c r="B51" s="18">
        <v>4.9955999999999996</v>
      </c>
      <c r="C51" s="18">
        <v>99</v>
      </c>
      <c r="D51" s="18">
        <v>4.8899999999999997</v>
      </c>
      <c r="E51" s="18">
        <f t="shared" ref="E51:E60" si="5">ABS(D51-B51)</f>
        <v>0.10559999999999992</v>
      </c>
      <c r="F51" s="18">
        <f t="shared" ref="F51:F60" si="6">(E51/B51)*100</f>
        <v>2.1138601969733348</v>
      </c>
    </row>
    <row r="52" spans="1:6">
      <c r="A52" s="1">
        <v>10</v>
      </c>
      <c r="B52" s="18">
        <v>9.9870000000000001</v>
      </c>
      <c r="C52" s="18">
        <v>201</v>
      </c>
      <c r="D52" s="18">
        <v>9.92</v>
      </c>
      <c r="E52" s="18">
        <f t="shared" si="5"/>
        <v>6.7000000000000171E-2</v>
      </c>
      <c r="F52" s="18">
        <f t="shared" si="6"/>
        <v>0.67087213377390775</v>
      </c>
    </row>
    <row r="53" spans="1:6">
      <c r="A53" s="1">
        <v>15</v>
      </c>
      <c r="B53" s="18">
        <v>14.981999999999999</v>
      </c>
      <c r="C53" s="18">
        <v>303</v>
      </c>
      <c r="D53" s="18">
        <v>14.96</v>
      </c>
      <c r="E53" s="18">
        <f t="shared" si="5"/>
        <v>2.1999999999998465E-2</v>
      </c>
      <c r="F53" s="18">
        <f t="shared" si="6"/>
        <v>0.14684287812040092</v>
      </c>
    </row>
    <row r="54" spans="1:6">
      <c r="A54" s="1">
        <v>20</v>
      </c>
      <c r="B54" s="18">
        <v>19.98</v>
      </c>
      <c r="C54" s="18">
        <v>405</v>
      </c>
      <c r="D54" s="18">
        <v>19.989999999999998</v>
      </c>
      <c r="E54" s="18">
        <f t="shared" si="5"/>
        <v>9.9999999999980105E-3</v>
      </c>
      <c r="F54" s="18">
        <f t="shared" si="6"/>
        <v>5.0050050050040096E-2</v>
      </c>
    </row>
    <row r="55" spans="1:6">
      <c r="A55" s="1">
        <v>25</v>
      </c>
      <c r="B55" s="18">
        <v>24.972000000000001</v>
      </c>
      <c r="C55" s="18">
        <v>506</v>
      </c>
      <c r="D55" s="18">
        <v>24.98</v>
      </c>
      <c r="E55" s="18">
        <f t="shared" si="5"/>
        <v>7.9999999999991189E-3</v>
      </c>
      <c r="F55" s="18">
        <f t="shared" si="6"/>
        <v>3.2035880185804576E-2</v>
      </c>
    </row>
    <row r="56" spans="1:6">
      <c r="A56" s="1">
        <v>30</v>
      </c>
      <c r="B56" s="18">
        <v>29.965</v>
      </c>
      <c r="C56" s="18">
        <v>607</v>
      </c>
      <c r="D56" s="18">
        <v>29.96</v>
      </c>
      <c r="E56" s="18">
        <f t="shared" si="5"/>
        <v>4.9999999999990052E-3</v>
      </c>
      <c r="F56" s="18">
        <f t="shared" si="6"/>
        <v>1.6686133822789939E-2</v>
      </c>
    </row>
    <row r="57" spans="1:6">
      <c r="A57" s="1">
        <v>35</v>
      </c>
      <c r="B57" s="25"/>
      <c r="C57" s="25"/>
      <c r="D57" s="25"/>
      <c r="E57" s="25">
        <f t="shared" si="5"/>
        <v>0</v>
      </c>
      <c r="F57" s="25" t="e">
        <f t="shared" si="6"/>
        <v>#DIV/0!</v>
      </c>
    </row>
    <row r="58" spans="1:6">
      <c r="A58" s="1">
        <v>40</v>
      </c>
      <c r="B58" s="25"/>
      <c r="C58" s="25"/>
      <c r="D58" s="25"/>
      <c r="E58" s="25">
        <f t="shared" si="5"/>
        <v>0</v>
      </c>
      <c r="F58" s="25" t="e">
        <f t="shared" si="6"/>
        <v>#DIV/0!</v>
      </c>
    </row>
    <row r="59" spans="1:6">
      <c r="A59" s="1">
        <v>45</v>
      </c>
      <c r="B59" s="25"/>
      <c r="C59" s="25"/>
      <c r="D59" s="25"/>
      <c r="E59" s="25">
        <f t="shared" si="5"/>
        <v>0</v>
      </c>
      <c r="F59" s="25" t="e">
        <f t="shared" si="6"/>
        <v>#DIV/0!</v>
      </c>
    </row>
    <row r="60" spans="1:6">
      <c r="A60" s="1">
        <v>50</v>
      </c>
      <c r="B60" s="25"/>
      <c r="C60" s="25"/>
      <c r="D60" s="25"/>
      <c r="E60" s="25">
        <f t="shared" si="5"/>
        <v>0</v>
      </c>
      <c r="F60" s="25" t="e">
        <f t="shared" si="6"/>
        <v>#DIV/0!</v>
      </c>
    </row>
    <row r="61" spans="1:6">
      <c r="F61" s="10"/>
    </row>
    <row r="62" spans="1:6">
      <c r="F62" s="10"/>
    </row>
    <row r="63" spans="1:6">
      <c r="F63" s="10"/>
    </row>
    <row r="64" spans="1:6">
      <c r="F64" s="10"/>
    </row>
    <row r="65" spans="1:6">
      <c r="A65" s="5" t="s">
        <v>25</v>
      </c>
      <c r="D65" t="s">
        <v>41</v>
      </c>
      <c r="F65" s="10"/>
    </row>
    <row r="66" spans="1:6">
      <c r="A66" s="9" t="s">
        <v>19</v>
      </c>
      <c r="B66" s="12">
        <v>1000</v>
      </c>
      <c r="D66" s="12" t="s">
        <v>37</v>
      </c>
      <c r="E66" s="12">
        <v>10</v>
      </c>
      <c r="F66" s="12" t="s">
        <v>38</v>
      </c>
    </row>
    <row r="67" spans="1:6">
      <c r="A67" s="9" t="s">
        <v>20</v>
      </c>
      <c r="B67" s="13">
        <v>10000</v>
      </c>
      <c r="D67" s="12" t="s">
        <v>51</v>
      </c>
      <c r="E67" s="12">
        <v>45</v>
      </c>
      <c r="F67" s="12" t="s">
        <v>39</v>
      </c>
    </row>
    <row r="68" spans="1:6">
      <c r="A68" s="9" t="s">
        <v>27</v>
      </c>
      <c r="B68" s="13">
        <v>227.3</v>
      </c>
      <c r="D68" s="12" t="s">
        <v>52</v>
      </c>
      <c r="E68" s="13">
        <f>E67*E66</f>
        <v>450</v>
      </c>
      <c r="F68" s="12" t="s">
        <v>42</v>
      </c>
    </row>
    <row r="69" spans="1:6">
      <c r="A69" s="9" t="s">
        <v>21</v>
      </c>
      <c r="B69" s="13">
        <v>2.5215000000000001</v>
      </c>
    </row>
    <row r="70" spans="1:6">
      <c r="D70" s="19" t="s">
        <v>43</v>
      </c>
    </row>
    <row r="71" spans="1:6">
      <c r="D71" s="12" t="s">
        <v>44</v>
      </c>
      <c r="E71" s="12">
        <f>E68</f>
        <v>450</v>
      </c>
      <c r="F71" s="12" t="s">
        <v>42</v>
      </c>
    </row>
    <row r="72" spans="1:6">
      <c r="D72" s="12" t="s">
        <v>40</v>
      </c>
      <c r="E72" s="12">
        <v>4950</v>
      </c>
      <c r="F72" s="12" t="s">
        <v>42</v>
      </c>
    </row>
    <row r="73" spans="1:6">
      <c r="D73" s="12" t="s">
        <v>29</v>
      </c>
      <c r="E73" s="12">
        <v>1000</v>
      </c>
      <c r="F73" s="20" t="s">
        <v>45</v>
      </c>
    </row>
    <row r="74" spans="1:6">
      <c r="D74" s="12" t="s">
        <v>30</v>
      </c>
      <c r="E74" s="13">
        <f>(E72*E73/E71)-E73</f>
        <v>10000</v>
      </c>
      <c r="F74" s="20" t="s">
        <v>45</v>
      </c>
    </row>
    <row r="80" spans="1:6">
      <c r="A80" s="5" t="s">
        <v>26</v>
      </c>
    </row>
    <row r="81" spans="1:2">
      <c r="A81" s="9" t="s">
        <v>22</v>
      </c>
      <c r="B81" s="21">
        <v>22.52</v>
      </c>
    </row>
    <row r="82" spans="1:2">
      <c r="A82" s="11"/>
    </row>
    <row r="89" spans="1:2">
      <c r="A89" s="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118" sqref="K118"/>
    </sheetView>
  </sheetViews>
  <sheetFormatPr defaultRowHeight="15"/>
  <sheetData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Azhdari, Nazanin</cp:lastModifiedBy>
  <cp:lastPrinted>2017-02-06T12:28:44Z</cp:lastPrinted>
  <dcterms:created xsi:type="dcterms:W3CDTF">2017-02-06T11:13:50Z</dcterms:created>
  <dcterms:modified xsi:type="dcterms:W3CDTF">2026-02-19T13:23:49Z</dcterms:modified>
</cp:coreProperties>
</file>